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b13bd6674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 1" sheetId="1" r:id="R4c8f081e61834979"/>
    <x:sheet xmlns:r="http://schemas.openxmlformats.org/officeDocument/2006/relationships" name="Angel Mortal Roster" sheetId="2" r:id="R99808c5f612c45cb"/>
  </x:sheets>
</x:workbook>
</file>

<file path=xl/comments1.xml><?xml version="1.0" encoding="utf-8"?>
<x:comments xmlns:x="http://schemas.openxmlformats.org/spreadsheetml/2006/main">
  <x:authors>
    <x:author>tc={ADFCE4C7-E599-47C7-ABC6-463BFDAF0836}</x:author>
    <x:author>tc={D8DDAB4F-F7CD-45C6-B68C-2C98841DBCB1}</x:author>
    <x:author>tc={B5F675F3-384D-455E-90F8-61CCDDA2E13B}</x:author>
    <x:author>tc={C2B1D7E1-AF32-46EF-81B7-27A73BD82D37}</x:author>
    <x:author>tc={4CE299F9-97D8-46A9-8608-E8D534713F7B}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Keep Form response and roster rows append-only. Do not sort, insert, or delete rows; use temporary filter views to sort safely. Reference workbook only: deploy with createEmptyAngelMortalStack() so the new spreadsheet namespace and frozen header rows are applied. This artifact-tool export cannot preserve freeze-pane metadata.</x:t>
        </x:r>
      </x:text>
    </x:comment>
    <x:comment ref="G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Organizer input: choose the participant who will be this person's mortal. Keep rows append-only; use temporary filter views to sort safely.</x:t>
        </x:r>
      </x:text>
    </x:comment>
    <x:comment ref="J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 Devil assignments, this compares the giver's and mortal's submitted prank-tolerance ratings as a screening proxy. Green is a gap of 0-1, amber is 2 or a missing giver rating, and red is 3-4.</x:t>
        </x:r>
      </x:text>
    </x:comment>
    <x:comment ref="M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Ready requires one mortal per giver, every participant selected exactly once, no self-pairing, and valid form data.</x:t>
        </x:r>
      </x:text>
    </x:comment>
    <x:comment ref="H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Formula-driven. Edit only the yellow Mortal column; derived values update automatically in Google Sheets.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1C232"/>
      </x:patternFill>
    </x:fill>
    <x:fill>
      <x:patternFill patternType="solid">
        <x:fgColor rgb="FF674EA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54bb560ba4423" /><Relationship Type="http://schemas.openxmlformats.org/officeDocument/2006/relationships/theme" Target="/xl/theme/theme1.xml" Id="R85f18b6cabbb48ef" /><Relationship Type="http://schemas.openxmlformats.org/officeDocument/2006/relationships/sheetMetadata" Target="/xl/metadata1.xml" Id="Re5c5757d2d734179" /><Relationship Type="http://schemas.openxmlformats.org/officeDocument/2006/relationships/sharedStrings" Target="/xl/sharedStrings.xml" Id="R44fa942a3df04748" /><Relationship Type="http://schemas.openxmlformats.org/officeDocument/2006/relationships/worksheet" Target="/xl/worksheets/sheet1.xml" Id="R4c8f081e61834979" /><Relationship Type="http://schemas.openxmlformats.org/officeDocument/2006/relationships/worksheet" Target="/xl/worksheets/sheet2.xml" Id="R99808c5f612c45cb" /><Relationship Type="http://schemas.microsoft.com/office/2017/10/relationships/person" Target="/xl/persons/person.xml" Id="R55ccbbcc63e7416b" /></Relationships>
</file>

<file path=xl/persons/person.xml><?xml version="1.0" encoding="utf-8"?>
<xltc:personList xmlns:xltc="http://schemas.microsoft.com/office/spreadsheetml/2018/threadedcomments">
  <xltc:person displayName="Organizer" id="{D466F765-CDE0-4A7C-BA9C-85FC7B798A8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03T20:58:34.161" personId="{D466F765-CDE0-4A7C-BA9C-85FC7B798A80}" id="{ADFCE4C7-E599-47C7-ABC6-463BFDAF0836}">
    <xltc:text>Keep Form response and roster rows append-only. Do not sort, insert, or delete rows; use temporary filter views to sort safely. Reference workbook only: deploy with createEmptyAngelMortalStack() so the new spreadsheet namespace and frozen header rows are applied. This artifact-tool export cannot preserve freeze-pane metadata.</xltc:text>
  </xltc:threadedComment>
  <xltc:threadedComment ref="G1" dT="2026-09-03T20:58:34.161" personId="{D466F765-CDE0-4A7C-BA9C-85FC7B798A80}" id="{D8DDAB4F-F7CD-45C6-B68C-2C98841DBCB1}">
    <xltc:text>Organizer input: choose the participant who will be this person's mortal. Keep rows append-only; use temporary filter views to sort safely.</xltc:text>
  </xltc:threadedComment>
  <xltc:threadedComment ref="J1" dT="2026-09-03T20:58:34.161" personId="{D466F765-CDE0-4A7C-BA9C-85FC7B798A80}" id="{B5F675F3-384D-455E-90F8-61CCDDA2E13B}">
    <xltc:text>For Devil assignments, this compares the giver's and mortal's submitted prank-tolerance ratings as a screening proxy. Green is a gap of 0-1, amber is 2 or a missing giver rating, and red is 3-4.</xltc:text>
  </xltc:threadedComment>
  <xltc:threadedComment ref="M1" dT="2026-09-03T20:58:34.161" personId="{D466F765-CDE0-4A7C-BA9C-85FC7B798A80}" id="{C2B1D7E1-AF32-46EF-81B7-27A73BD82D37}">
    <xltc:text>Ready requires one mortal per giver, every participant selected exactly once, no self-pairing, and valid form data.</xltc:text>
  </xltc:threadedComment>
  <xltc:threadedComment ref="H1" dT="2026-09-03T20:58:34.162" personId="{D466F765-CDE0-4A7C-BA9C-85FC7B798A80}" id="{4CE299F9-97D8-46A9-8608-E8D534713F7B}">
    <xltc:text>Formula-driven. Edit only the yellow Mortal column; derived values update automatically in Google Sheets.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b325a6fc2de4fbe" /><Relationship Type="http://schemas.openxmlformats.org/officeDocument/2006/relationships/vmlDrawing" Target="/xl/drawings/vmldrawing.vml" Id="Rec22f476169840a2" /><Relationship Type="http://schemas.microsoft.com/office/2017/10/relationships/threadedComment" Target="/xl/threadedcomments/threadedcomment.xml" Id="R6de92ec43370494f" /></Relationships>
</file>

<file path=xl/worksheets/sheet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0" hidden="0" customWidth="1"/>
    <x:col min="3" max="3" width="11.25" hidden="0" customWidth="1"/>
    <x:col min="4" max="4" width="21.25" hidden="0" customWidth="1"/>
    <x:col min="5" max="5" width="22.5" hidden="0" customWidth="1"/>
    <x:col min="6" max="6" width="23.75" hidden="0" customWidth="1"/>
    <x:col min="7" max="7" width="17.5" hidden="0" customWidth="1"/>
    <x:col min="8" max="8" width="21.25" hidden="0" customWidth="1"/>
    <x:col min="9" max="9" width="27.5" hidden="0" customWidth="1"/>
    <x:col min="10" max="10" width="33.75" hidden="0" customWidth="1"/>
    <x:col min="11" max="11" width="22.5" hidden="0" customWidth="1"/>
    <x:col min="12" max="12" width="37.5" hidden="0" customWidth="1"/>
    <x:col min="13" max="13" width="21.25" hidden="0" customWidth="1"/>
    <x:col min="14" max="14" width="27.5" hidden="0" customWidth="1"/>
    <x:col min="15" max="15" width="47.5" hidden="0" customWidth="1"/>
    <x:col min="16" max="16" width="48.75" hidden="0" customWidth="1"/>
  </x:cols>
  <x:sheetData>
    <x:row r="1" ht="48" customHeight="1">
      <x:c r="A1" s="5" t="str">
        <x:v>Timestamp</x:v>
      </x:c>
      <x:c r="B1" s="5" t="str">
        <x:v>What’s your name? 👀</x:v>
      </x:c>
      <x:c r="C1" s="5" t="str">
        <x:v>Gender?</x:v>
      </x:c>
      <x:c r="D1" s="5" t="str">
        <x:v>What’s your room no.! [#LL-RRR]🤌</x:v>
      </x:c>
      <x:c r="E1" s="5" t="str">
        <x:v>What’s your tele handle? [@…] 💅</x:v>
      </x:c>
      <x:c r="F1" s="5" t="str">
        <x:v>What’s your tele Telegram user id?</x:v>
      </x:c>
      <x:c r="G1" s="5" t="str">
        <x:v>What’s your year of study?</x:v>
      </x:c>
      <x:c r="H1" s="5" t="str">
        <x:v>Which faculty are you from!</x:v>
      </x:c>
      <x:c r="I1" s="5" t="str">
        <x:v>Share some of your interests! ✍️</x:v>
      </x:c>
      <x:c r="J1" s="5" t="str">
        <x:v>Do you have any special requirements? (e.g. allergies, etc.)</x:v>
      </x:c>
      <x:c r="K1" s="5" t="str">
        <x:v>Any gender preference for A&amp;M? 🤔</x:v>
      </x:c>
      <x:c r="L1" s="5" t="str">
        <x:v>Angel and Mortal (welfare only) or Devil and Mortal (welfare and pranks)?</x:v>
      </x:c>
      <x:c r="M1" s="5" t="str">
        <x:v>Level of Prank Tolerance</x:v>
      </x:c>
      <x:c r="N1" s="5" t="str">
        <x:v>Are you okay with your devil entering your room?</x:v>
      </x:c>
      <x:c r="O1" s="5" t="str">
        <x:v>Please specify any boundaries/things that are off limits for your devil [Tick to indicate OFF LIMIT]</x:v>
      </x:c>
      <x:c r="P1" s="5" t="str">
        <x:v>I have looked through and understood the rules of this event and agree to respect the boundaries set by my mortal.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8.75" hidden="0" customWidth="1"/>
    <x:col min="3" max="3" width="11.25" hidden="0" customWidth="1"/>
    <x:col min="4" max="4" width="15.630000114440918" hidden="0" customWidth="1"/>
    <x:col min="5" max="5" width="13.130000114440918" hidden="0" customWidth="1"/>
    <x:col min="6" max="6" width="18.1299991607666" hidden="0" customWidth="1"/>
    <x:col min="7" max="7" width="27.5" hidden="0" customWidth="1"/>
    <x:col min="8" max="8" width="18.1299991607666" hidden="0" customWidth="1"/>
    <x:col min="9" max="9" width="15" hidden="0" customWidth="1"/>
    <x:col min="10" max="10" width="26.25" hidden="0" customWidth="1"/>
    <x:col min="11" max="11" width="31.25" hidden="0" customWidth="1"/>
    <x:col min="12" max="12" width="13.130000114440918" hidden="0" customWidth="1"/>
    <x:col min="13" max="13" width="40" hidden="0" customWidth="1"/>
    <x:col min="14" max="14" width="15" hidden="0" customWidth="1"/>
    <x:col min="15" max="15" width="0.12999999523162842" hidden="0" customWidth="1"/>
    <x:col min="16" max="16" width="45" hidden="0" customWidth="1"/>
    <x:col min="17" max="17" width="0.12999999523162842" hidden="0" customWidth="1"/>
    <x:col min="18" max="18" width="19.3799991607666" hidden="0" customWidth="1"/>
    <x:col min="19" max="19" width="20.6299991607666" hidden="0" customWidth="1"/>
    <x:col min="20" max="20" width="20.6299991607666" hidden="0" customWidth="1"/>
    <x:col min="21" max="21" width="0.12999999523162842" hidden="0" customWidth="1"/>
  </x:cols>
  <x:sheetData>
    <x:row r="1" ht="48" customHeight="1">
      <x:c r="A1" s="5" t="str">
        <x:v>Participant Key</x:v>
      </x:c>
      <x:c r="B1" s="5" t="str">
        <x:v>Name</x:v>
      </x:c>
      <x:c r="C1" s="5" t="str">
        <x:v>Room</x:v>
      </x:c>
      <x:c r="D1" s="5" t="str">
        <x:v>Mode Requested</x:v>
      </x:c>
      <x:c r="E1" s="5" t="str">
        <x:v>Prank Tolerance</x:v>
      </x:c>
      <x:c r="F1" s="5" t="str">
        <x:v>Gender Preference</x:v>
      </x:c>
      <x:c r="G1" s="6" t="str">
        <x:v>Mortal</x:v>
      </x:c>
      <x:c r="H1" s="5" t="str">
        <x:v>Mortal Prank Tolerance</x:v>
      </x:c>
      <x:c r="I1" s="5" t="str">
        <x:v>Role to Mortal</x:v>
      </x:c>
      <x:c r="J1" s="8" t="str">
        <x:v>Assignment Fit</x:v>
      </x:c>
      <x:c r="K1" s="5" t="str">
        <x:v>Assigned Angel/Devil</x:v>
      </x:c>
      <x:c r="L1" s="5" t="str">
        <x:v>Pairing Status</x:v>
      </x:c>
      <x:c r="M1" s="5" t="str">
        <x:v>Pairing Issues</x:v>
      </x:c>
      <x:c r="N1" s="5" t="str">
        <x:v>Telegram ID</x:v>
      </x:c>
      <x:c r="O1" s="5" t="str">
        <x:v>PersonID</x:v>
      </x:c>
      <x:c r="P1" s="5" t="str">
        <x:v>Intro</x:v>
      </x:c>
      <x:c r="Q1" s="5" t="str">
        <x:v>Form Row</x:v>
      </x:c>
      <x:c r="R1" s="5" t="str">
        <x:v>Signup Time</x:v>
      </x:c>
      <x:c r="S1" s="5" t="str">
        <x:v>Angel Bot Started At</x:v>
      </x:c>
      <x:c r="T1" s="5" t="str">
        <x:v>Mortal Bot Started At</x:v>
      </x:c>
      <x:c r="U1" s="5" t="str">
        <x:v>Form Validation Issues</x:v>
      </x:c>
    </x:row>
    <x:row r="2">
      <x:c r="A2" t="str">
        <x:f>ARRAYFORMULA(IFNA(FILTER(REGEXREPLACE(TO_TEXT('Form Responses 1'!B2:B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&amp;" ["&amp;IF(REGEXREPLACE(TO_TEXT('Form Responses 1'!F2:F),"[\x{9}\x{a}\x{b}\x{c}\x{d}\x{20}\x{85}\x{a0}\x{1680}\x{2000}\x{2001}\x{2002}\x{2003}\x{2004}\x{2005}\x{2006}\x{2007}\x{2008}\x{2009}\x{200a}\x{2028}\x{2029}\x{202f}\x{205f}\x{3000}\x{feff}]","")="","row "&amp;ROW('Form Responses 1'!A2:A),REGEXREPLACE(TO_TEXT('Form Responses 1'!F2:F),"[\x{9}\x{a}\x{b}\x{c}\x{d}\x{20}\x{85}\x{a0}\x{1680}\x{2000}\x{2001}\x{2002}\x{2003}\x{2004}\x{2005}\x{2006}\x{2007}\x{2008}\x{2009}\x{200a}\x{2028}\x{2029}\x{202f}\x{205f}\x{3000}\x{feff}]",""))&amp;"]",'Form Responses 1'!A2:A&lt;&gt;""),""))</x:f>
      </x:c>
      <x:c r="B2" t="str">
        <x:f>ARRAYFORMULA(IFNA(FILTER(REGEXREPLACE(TO_TEXT('Form Responses 1'!B2:B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1'!A2:A&lt;&gt;""),""))</x:f>
      </x:c>
      <x:c r="C2" t="str">
        <x:f>ARRAYFORMULA(IFNA(FILTER(REGEXREPLACE(TO_TEXT('Form Responses 1'!D2:D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1'!A2:A&lt;&gt;""),""))</x:f>
      </x:c>
      <x:c r="D2" t="str">
        <x:f>ARRAYFORMULA(IFNA(LET(choice,FILTER(REGEXREPLACE(TO_TEXT('Form Responses 1'!L2:L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1'!A2:A&lt;&gt;""),IF(REGEXMATCH(REGEXREPLACE(LOWER(TO_TEXT(choice)),"[\x{9}\x{a}\x{b}\x{c}\x{d}\x{20}\x{85}\x{a0}\x{1680}\x{2000}\x{2001}\x{2002}\x{2003}\x{2004}\x{2005}\x{2006}\x{2007}\x{2008}\x{2009}\x{200a}\x{2028}\x{2029}\x{202f}\x{205f}\x{3000}\x{feff}]+"," " ),"^devil and mortal"),"Devil",IF(REGEXMATCH(REGEXREPLACE(LOWER(TO_TEXT(choice)),"[\x{9}\x{a}\x{b}\x{c}\x{d}\x{20}\x{85}\x{a0}\x{1680}\x{2000}\x{2001}\x{2002}\x{2003}\x{2004}\x{2005}\x{2006}\x{2007}\x{2008}\x{2009}\x{200a}\x{2028}\x{2029}\x{202f}\x{205f}\x{3000}\x{feff}]+"," " ),"^angel and mortal"),"Angel",""))),""))</x:f>
      </x:c>
      <x:c r="E2" t="str">
        <x:f>ARRAYFORMULA(IFNA(FILTER(REGEXREPLACE(TO_TEXT('Form Responses 1'!M2:M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1'!A2:A&lt;&gt;""),""))</x:f>
      </x:c>
      <x:c r="F2" t="str">
        <x:f>ARRAYFORMULA(IFNA(FILTER(REGEXREPLACE(TO_TEXT('Form Responses 1'!K2:K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1'!A2:A&lt;&gt;""),""))</x:f>
      </x:c>
      <x:c r="H2" t="str" cm="1">
        <x:f t="array" ref="H2">MAP($A$2:$A,$G$2:$G,LAMBDA(participantKey,mortal,IF(participantKey="","",IF(mortal="","",IF(SUMPRODUCT(N(EXACT($A$2:$A,mortal)),N($A$2:$A&lt;&gt;""))&lt;&gt;1,"",IF(EXACT(mortal,participantKey),"",IFNA(INDEX(FILTER($E$2:$E,EXACT($A$2:$A,mortal)),1),"")))))))</x:f>
      </x:c>
      <x:c r="I2" t="str" cm="1">
        <x:f t="array" ref="I2">MAP($A$2:$A,$G$2:$G,LAMBDA(participantKey,mortal,IF(participantKey="","",IF(mortal="","",IF(SUMPRODUCT(N(EXACT($A$2:$A,mortal)),N($A$2:$A&lt;&gt;""))&lt;&gt;1,"",IF(EXACT(mortal,participantKey),"",IFNA(INDEX(FILTER($D$2:$D,EXACT($A$2:$A,mortal)),1),"")))))))</x:f>
      </x:c>
      <x:c r="J2" t="str" cm="1">
        <x:f t="array" ref="J2">MAP($A$2:$A,$G$2:$G,$E$2:$E,$H$2:$H,$I$2:$I,LAMBDA(participantKey,mortal,giverTolerance,mortalTolerance,role,IF(participantKey="","",IF(mortal="","UNASSIGNED",IF(SUMPRODUCT(N(EXACT($A$2:$A,mortal)),N($A$2:$A&lt;&gt;""))&lt;&gt;1,"UNASSIGNED",IF(EXACT(mortal,participantKey),"UNASSIGNED",IF(role="Angel","READY · ANGEL",IF(role&lt;&gt;"Devil","UNASSIGNED",IF(NOT(REGEXMATCH(TO_TEXT(mortalTolerance),"^[1-5]$")),"INVALID · MORTAL TOLERANCE",IF(NOT(REGEXMATCH(TO_TEXT(giverTolerance),"^[1-5]$")),"CHECK · DEVIL ?→"&amp;mortalTolerance,IF(ABS(VALUE(giverTolerance)-VALUE(mortalTolerance))&lt;=1,"GOOD · DEVIL "&amp;giverTolerance&amp;"→"&amp;mortalTolerance,IF(ABS(VALUE(giverTolerance)-VALUE(mortalTolerance))=2,"CHECK · DEVIL "&amp;giverTolerance&amp;"→"&amp;mortalTolerance,"MISMATCH · DEVIL "&amp;giverTolerance&amp;"→"&amp;mortalTolerance))))))))))))</x:f>
      </x:c>
      <x:c r="K2" t="str" cm="1">
        <x:f t="array" ref="K2">MAP($A$2:$A,$D$2:$D,LAMBDA(participantKey,mode,IF(participantKey="","",IF(SUMPRODUCT(N(EXACT($G$2:$G,participantKey)),N($A$2:$A&lt;&gt;""),N(NOT(EXACT($A$2:$A,participantKey))))&lt;&gt;1,"",INDEX(FILTER($A$2:$A,EXACT($G$2:$G,participantKey),$A$2:$A&lt;&gt;"",NOT(EXACT($A$2:$A,participantKey))),1)&amp;" — "&amp;mode))))</x:f>
      </x:c>
      <x:c r="L2" t="str" cm="1">
        <x:f t="array" ref="L2">MAP($A$2:$A,$M$2:$M,LAMBDA(participantKey,issues,IF(participantKey="","",IF(issues="","Ready","Review"))))</x:f>
      </x:c>
      <x:c r="M2" t="str" cm="1">
        <x:f t="array" ref="M2">MAP($A$2:$A,$G$2:$G,$U$2:$U,LAMBDA(participantKey,mortal,formIssues,IF(participantKey="","",TEXTJOIN("; ",TRUE,formIssues,IF(mortal="","Choose a mortal",""),IF(AND(mortal&lt;&gt;"",SUMPRODUCT(N(EXACT($A$2:$A,mortal)),N($A$2:$A&lt;&gt;""))&lt;&gt;1),"Selected mortal is not a current participant",""),IF(EXACT(mortal,participantKey),"A participant cannot be their own mortal",""),IF(AND(mortal&lt;&gt;"",NOT(EXACT(mortal,participantKey)),SUMPRODUCT(N(EXACT($A$2:$A,mortal)),N($A$2:$A&lt;&gt;""))=1,SUMPRODUCT(N(EXACT($G$2:$G,mortal)),N($A$2:$A&lt;&gt;""),N(NOT(EXACT($A$2:$A,mortal))))&gt;1),"Selected mortal is assigned to more than one giver",""),IF(SUMPRODUCT(N(EXACT($G$2:$G,participantKey)),N($A$2:$A&lt;&gt;""),N(NOT(EXACT($A$2:$A,participantKey))))&lt;&gt;1,"Appears as a mortal "&amp;SUMPRODUCT(N(EXACT($G$2:$G,participantKey)),N($A$2:$A&lt;&gt;""),N(NOT(EXACT($A$2:$A,participantKey))))&amp;" times; expected exactly once","")))))</x:f>
      </x:c>
      <x:c r="N2" t="str">
        <x:f>ARRAYFORMULA(IFNA(FILTER(REGEXREPLACE(TO_TEXT('Form Responses 1'!F2:F),"[\x{9}\x{a}\x{b}\x{c}\x{d}\x{20}\x{85}\x{a0}\x{1680}\x{2000}\x{2001}\x{2002}\x{2003}\x{2004}\x{2005}\x{2006}\x{2007}\x{2008}\x{2009}\x{200a}\x{2028}\x{2029}\x{202f}\x{205f}\x{3000}\x{feff}]",""),'Form Responses 1'!A2:A&lt;&gt;""),""))</x:f>
      </x:c>
      <x:c r="O2" t="str">
        <x:f>ARRAYFORMULA(IFNA("form:template:"&amp;FILTER(ROW('Form Responses 1'!A2:A),'Form Responses 1'!A2:A&lt;&gt;""),""))</x:f>
      </x:c>
      <x:c r="P2" t="str" cm="1">
        <x:f t="array" ref="P2">IFNA(MAP(FILTER(REGEXREPLACE(TO_TEXT('Form Responses 1'!G2:G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H2:H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I2:I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J2:J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L2:L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M2:M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N2:N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O2:O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1'!A2:A&lt;&gt;""),LAMBDA(year,faculty,interests,requirements,choice,tolerance,roomEntry,boundaries,TEXTJOIN(CHAR(10),TRUE,IF(TEXTJOIN(" · ",TRUE,year,faculty)="","",TEXTJOIN(" · ",TRUE,year,faculty)),IF(interests="","","Interests: "&amp;interests),IF(requirements="","","Special requirements: "&amp;requirements),IF(REGEXMATCH(REGEXREPLACE(LOWER(TO_TEXT(choice)),"[\x{9}\x{a}\x{b}\x{c}\x{d}\x{20}\x{85}\x{a0}\x{1680}\x{2000}\x{2001}\x{2002}\x{2003}\x{2004}\x{2005}\x{2006}\x{2007}\x{2008}\x{2009}\x{200a}\x{2028}\x{2029}\x{202f}\x{205f}\x{3000}\x{feff}]+"," " ),"^devil and mortal"),"Mode: Devil and Mortal (welfare and pranks).","Mode: Angel and Mortal (welfare only; no pranks)."),IF(REGEXMATCH(REGEXREPLACE(LOWER(TO_TEXT(choice)),"[\x{9}\x{a}\x{b}\x{c}\x{d}\x{20}\x{85}\x{a0}\x{1680}\x{2000}\x{2001}\x{2002}\x{2003}\x{2004}\x{2005}\x{2006}\x{2007}\x{2008}\x{2009}\x{200a}\x{2028}\x{2029}\x{202f}\x{205f}\x{3000}\x{feff}]+"," " ),"^devil and mortal"),IF(tolerance="","","Prank tolerance: "&amp;tolerance&amp;"/5"),""),IF(REGEXMATCH(REGEXREPLACE(LOWER(TO_TEXT(choice)),"[\x{9}\x{a}\x{b}\x{c}\x{d}\x{20}\x{85}\x{a0}\x{1680}\x{2000}\x{2001}\x{2002}\x{2003}\x{2004}\x{2005}\x{2006}\x{2007}\x{2008}\x{2009}\x{200a}\x{2028}\x{2029}\x{202f}\x{205f}\x{3000}\x{feff}]+"," " ),"^devil and mortal"),IF(roomEntry="","","Room entry: "&amp;roomEntry),""),IF(REGEXMATCH(REGEXREPLACE(LOWER(TO_TEXT(choice)),"[\x{9}\x{a}\x{b}\x{c}\x{d}\x{20}\x{85}\x{a0}\x{1680}\x{2000}\x{2001}\x{2002}\x{2003}\x{2004}\x{2005}\x{2006}\x{2007}\x{2008}\x{2009}\x{200a}\x{2028}\x{2029}\x{202f}\x{205f}\x{3000}\x{feff}]+"," " ),"^devil and mortal"),IF(boundaries="","","Off limits: "&amp;boundaries),"")))),"")</x:f>
      </x:c>
      <x:c r="Q2" t="str">
        <x:f>ARRAYFORMULA(IFNA(FILTER(ROW('Form Responses 1'!A2:A),'Form Responses 1'!A2:A&lt;&gt;""),""))</x:f>
      </x:c>
      <x:c r="R2" t="str">
        <x:f>ARRAYFORMULA(IFNA(FILTER('Form Responses 1'!A2:A,'Form Responses 1'!A2:A&lt;&gt;""),""))</x:f>
      </x:c>
      <x:c r="U2" t="str" cm="1">
        <x:f t="array" ref="U2">IFNA(MAP(FILTER('Form Responses 1'!A2:A,'Form Responses 1'!A2:A&lt;&gt;""),FILTER(REGEXREPLACE(TO_TEXT('Form Responses 1'!B2:B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C2:C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D2:D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E2:E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1'!F2:F),"[\x{9}\x{a}\x{b}\x{c}\x{d}\x{20}\x{85}\x{a0}\x{1680}\x{2000}\x{2001}\x{2002}\x{2003}\x{2004}\x{2005}\x{2006}\x{2007}\x{2008}\x{2009}\x{200a}\x{2028}\x{2029}\x{202f}\x{205f}\x{3000}\x{feff}]",""),'Form Responses 1'!A2:A&lt;&gt;""),FILTER(REGEXREPLACE(TO_TEXT('Form Responses 1'!G2:G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H2:H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I2:I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J2:J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K2:K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L2:L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P2:P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M2:M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N2:N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1'!A2:A&lt;&gt;""),FILTER(REGEXREPLACE(TO_TEXT('Form Responses 1'!O2:O),"^[\x{9}\x{a}\x{b}\x{c}\x{d}\x{20}\x{85}\x{a0}\x{1680}\x{2000}\x{2001}\x{2002}\x{2003}\x{2004}\x{2005}\x{2006}\x{2007}\x{2008}\x{2009}\x{200a}\x{2028}\x{2029}\x{202f}\x{205f}\x{3000}\x{feff}]+|[\x{9}\x{a}\x{b}\x{c}\x{d}\x{20}\x{85}\x{a0}\x{1680}\x{2000}\x{2001}\x{2002}\x{2003}\x{2004}\x{2005}\x{2006}\x{2007}\x{2008}\x{2009}\x{200a}\x{2028}\x{2029}\x{202f}\x{205f}\x{3000}\x{feff}]+$",""),'Form Responses 1'!A2:A&lt;&gt;""),LAMBDA(timestamp,name,gender,room,handle,telegramId,year,faculty,interests,requirements,genderPreference,choice,declaration,tolerance,roomEntry,boundaries,IF(timestamp="","",TEXTJOIN("; ",TRUE,IF(name="","Missing name",""),IF(gender="","Missing gender",""),IF(room="","Missing room",""),IF(handle="","Missing Telegram handle",""),IF(NOT(REGEXMATCH(TO_TEXT(telegramId),"^\d{5,20}$")),"Telegram ID must contain 5-20 digits",""),IF(year="","Missing year of study",""),IF(faculty="","Missing faculty",""),IF(interests="","Missing interests",""),IF(requirements="","Missing special requirements",""),IF(genderPreference="","Missing gender preference",""),IF(NOT(REGEXMATCH(REGEXREPLACE(LOWER(TO_TEXT(choice)),"[\x{9}\x{a}\x{b}\x{c}\x{d}\x{20}\x{85}\x{a0}\x{1680}\x{2000}\x{2001}\x{2002}\x{2003}\x{2004}\x{2005}\x{2006}\x{2007}\x{2008}\x{2009}\x{200a}\x{2028}\x{2029}\x{202f}\x{205f}\x{3000}\x{feff}]+"," " ),"^(angel|devil) and mortal")),"Unknown Angel/Devil selection",""),IF(declaration="","Declaration not accepted",""),IF(AND(REGEXMATCH(REGEXREPLACE(LOWER(TO_TEXT(choice)),"[\x{9}\x{a}\x{b}\x{c}\x{d}\x{20}\x{85}\x{a0}\x{1680}\x{2000}\x{2001}\x{2002}\x{2003}\x{2004}\x{2005}\x{2006}\x{2007}\x{2008}\x{2009}\x{200a}\x{2028}\x{2029}\x{202f}\x{205f}\x{3000}\x{feff}]+"," " ),"^devil and mortal"),NOT(REGEXMATCH(TO_TEXT(tolerance),"^[1-5]$"))),"Devil response needs prank tolerance 1-5",""),IF(AND(REGEXMATCH(REGEXREPLACE(LOWER(TO_TEXT(choice)),"[\x{9}\x{a}\x{b}\x{c}\x{d}\x{20}\x{85}\x{a0}\x{1680}\x{2000}\x{2001}\x{2002}\x{2003}\x{2004}\x{2005}\x{2006}\x{2007}\x{2008}\x{2009}\x{200a}\x{2028}\x{2029}\x{202f}\x{205f}\x{3000}\x{feff}]+"," " ),"^devil and mortal"),roomEntry=""),"Devil response needs room-entry preference",""),IF(AND(REGEXMATCH(REGEXREPLACE(LOWER(TO_TEXT(choice)),"[\x{9}\x{a}\x{b}\x{c}\x{d}\x{20}\x{85}\x{a0}\x{1680}\x{2000}\x{2001}\x{2002}\x{2003}\x{2004}\x{2005}\x{2006}\x{2007}\x{2008}\x{2009}\x{200a}\x{2028}\x{2029}\x{202f}\x{205f}\x{3000}\x{feff}]+"," " ),"^devil and mortal"),boundaries=""),"Devil response needs boundaries",""),IF(AND(telegramId&lt;&gt;"",SUMPRODUCT(N(EXACT($N$2:$N,telegramId)))&gt;1),"Duplicate Telegram ID in form responses",""),IF(AND(name&lt;&gt;"",SUMPRODUCT(N(LOWER($B$2:$B)=LOWER(name)))&gt;1),"Duplicate name in form responses",""))))),"")</x:f>
      </x:c>
    </x:row>
  </x:sheetData>
  <x:conditionalFormatting sqref="G2:G1000">
    <x:cfRule type="expression" dxfId="0" priority="1">
      <x:formula>AND($A2&lt;&gt;"",REGEXMATCH($J2,"^(GOOD|READY)"))</x:formula>
    </x:cfRule>
    <x:cfRule type="expression" dxfId="1" priority="2">
      <x:formula>AND($A2&lt;&gt;"",REGEXMATCH($J2,"^CHECK"))</x:formula>
    </x:cfRule>
    <x:cfRule type="expression" dxfId="2" priority="3">
      <x:formula>AND($A2&lt;&gt;"",REGEXMATCH($J2,"^(UNASSIGNED|INVALID|MISMATCH)"))</x:formula>
    </x:cfRule>
  </x:conditionalFormatting>
  <x:conditionalFormatting sqref="J2:J1000">
    <x:cfRule type="expression" dxfId="3" priority="4">
      <x:formula>AND($A2&lt;&gt;"",REGEXMATCH($J2,"^(GOOD|READY)"))</x:formula>
    </x:cfRule>
    <x:cfRule type="expression" dxfId="4" priority="5">
      <x:formula>AND($A2&lt;&gt;"",REGEXMATCH($J2,"^CHECK"))</x:formula>
    </x:cfRule>
    <x:cfRule type="expression" dxfId="5" priority="6">
      <x:formula>AND($A2&lt;&gt;"",REGEXMATCH($J2,"^(UNASSIGNED|INVALID|MISMATCH)"))</x:formula>
    </x:cfRule>
  </x:conditionalFormatting>
  <x:conditionalFormatting sqref="L2:L1000">
    <x:cfRule type="expression" dxfId="6" priority="7">
      <x:formula>AND($A2&lt;&gt;"",$L2="Ready")</x:formula>
    </x:cfRule>
    <x:cfRule type="expression" dxfId="7" priority="8">
      <x:formula>AND($A2&lt;&gt;"",$L2="Review")</x:formula>
    </x:cfRule>
  </x:conditionalFormatting>
  <x:dataValidations count="1">
    <x:dataValidation type="list" errorStyle="stop" allowBlank="1" showDropDown="0" showInputMessage="1" showErrorMessage="1" errorTitle="Invalid mortal" error="Choose a participant from the dropdown." promptTitle="Choose a mortal" prompt="Choose exactly one different current participant." sqref="G2:G1000">
      <x:formula1>$A$2:$A$1000</x:formula1>
    </x:dataValidation>
  </x:dataValidations>
  <x:pageMargins left="0.7" right="0.7" top="0.75" bottom="0.75" header="0.3" footer="0.3"/>
  <x:legacyDrawing xmlns:r="http://schemas.openxmlformats.org/officeDocument/2006/relationships" r:id="Rec22f476169840a2"/>
</x:worksheet>
</file>